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37" i="1" l="1"/>
  <c r="F37" i="1"/>
  <c r="G37" i="1"/>
  <c r="D37" i="1"/>
  <c r="H26" i="1" a="1"/>
  <c r="H26" i="1" s="1"/>
  <c r="F28" i="1"/>
  <c r="D29" i="1"/>
  <c r="D28" i="1"/>
  <c r="C28" i="1"/>
  <c r="F26" i="1"/>
  <c r="D26" i="1"/>
  <c r="F20" i="1"/>
  <c r="E22" i="1"/>
  <c r="E20" i="1"/>
  <c r="C20" i="1"/>
  <c r="C22" i="1"/>
  <c r="H19" i="1" a="1"/>
  <c r="H19" i="1" s="1"/>
  <c r="E19" i="1"/>
  <c r="D15" i="1"/>
  <c r="F14" i="1"/>
  <c r="D14" i="1"/>
  <c r="F12" i="1"/>
  <c r="E12" i="1"/>
  <c r="D12" i="1"/>
  <c r="D6" i="1"/>
  <c r="C6" i="1"/>
  <c r="C5" i="1"/>
  <c r="H4" i="1" l="1" a="1"/>
  <c r="H4" i="1" s="1"/>
  <c r="H12" i="1" a="1"/>
  <c r="I12" i="1" s="1"/>
  <c r="K27" i="1"/>
  <c r="I27" i="1"/>
  <c r="H27" i="1"/>
  <c r="K28" i="1"/>
  <c r="J28" i="1"/>
  <c r="H28" i="1"/>
  <c r="J27" i="1"/>
  <c r="J26" i="1"/>
  <c r="I29" i="1"/>
  <c r="I26" i="1"/>
  <c r="L26" i="1" s="1"/>
  <c r="I28" i="1"/>
  <c r="K29" i="1"/>
  <c r="K26" i="1"/>
  <c r="J29" i="1"/>
  <c r="H29" i="1"/>
  <c r="L29" i="1" s="1"/>
  <c r="K21" i="1"/>
  <c r="J21" i="1"/>
  <c r="I21" i="1"/>
  <c r="H21" i="1"/>
  <c r="K20" i="1"/>
  <c r="J20" i="1"/>
  <c r="I20" i="1"/>
  <c r="H20" i="1"/>
  <c r="K22" i="1"/>
  <c r="K19" i="1"/>
  <c r="J22" i="1"/>
  <c r="J19" i="1"/>
  <c r="I22" i="1"/>
  <c r="I19" i="1"/>
  <c r="H22" i="1"/>
  <c r="J4" i="1" l="1"/>
  <c r="J13" i="1"/>
  <c r="K13" i="1"/>
  <c r="I6" i="1"/>
  <c r="H14" i="1"/>
  <c r="J6" i="1"/>
  <c r="I14" i="1"/>
  <c r="J12" i="1"/>
  <c r="H12" i="1"/>
  <c r="L12" i="1" s="1"/>
  <c r="I13" i="1"/>
  <c r="H5" i="1"/>
  <c r="H6" i="1"/>
  <c r="J15" i="1"/>
  <c r="H15" i="1"/>
  <c r="K12" i="1"/>
  <c r="L21" i="1"/>
  <c r="I4" i="1"/>
  <c r="K4" i="1" s="1"/>
  <c r="K15" i="1"/>
  <c r="L28" i="1"/>
  <c r="J5" i="1"/>
  <c r="H13" i="1"/>
  <c r="L27" i="1"/>
  <c r="I5" i="1"/>
  <c r="J14" i="1"/>
  <c r="L20" i="1"/>
  <c r="I15" i="1"/>
  <c r="K14" i="1"/>
  <c r="L19" i="1"/>
  <c r="L22" i="1"/>
  <c r="L15" i="1"/>
  <c r="L13" i="1" l="1"/>
  <c r="L16" i="1" s="1"/>
  <c r="M12" i="1" s="1"/>
  <c r="L14" i="1"/>
  <c r="K6" i="1"/>
  <c r="L30" i="1"/>
  <c r="M27" i="1"/>
  <c r="K5" i="1"/>
  <c r="K7" i="1" s="1"/>
  <c r="L23" i="1"/>
  <c r="M22" i="1" s="1"/>
  <c r="L5" i="1" l="1"/>
  <c r="L4" i="1"/>
  <c r="L6" i="1"/>
  <c r="M13" i="1"/>
  <c r="M29" i="1"/>
  <c r="M26" i="1"/>
  <c r="M28" i="1"/>
  <c r="M15" i="1"/>
  <c r="M14" i="1"/>
  <c r="M20" i="1"/>
  <c r="M21" i="1"/>
  <c r="M19" i="1"/>
</calcChain>
</file>

<file path=xl/sharedStrings.xml><?xml version="1.0" encoding="utf-8"?>
<sst xmlns="http://schemas.openxmlformats.org/spreadsheetml/2006/main" count="41" uniqueCount="8">
  <si>
    <t>Легкость в производстве</t>
  </si>
  <si>
    <t>Вес</t>
  </si>
  <si>
    <t>Управляемость</t>
  </si>
  <si>
    <t>Традиц</t>
  </si>
  <si>
    <t>V</t>
  </si>
  <si>
    <t>T</t>
  </si>
  <si>
    <t>Y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</si>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</sst>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tabSelected="1" topLeftCell="C13" workbookViewId="0">
      <selection activeCell="K35" sqref="K35"/>
    </sheetView>
  </sheetViews>
  <sheetFormatPr defaultRowHeight="14.4" x14ac:dyDescent="0.3"/>
  <cols>
    <col min="2" max="2" width="22.44140625" customWidth="1"/>
    <col min="3" max="3" width="27" customWidth="1"/>
    <col min="4" max="4" width="14.88671875" customWidth="1"/>
    <col min="5" max="5" width="15.77734375" customWidth="1"/>
  </cols>
  <sheetData>
    <row r="3" spans="2:13" x14ac:dyDescent="0.3">
      <c r="B3" s="1"/>
      <c r="C3" s="1" t="s">
        <v>0</v>
      </c>
      <c r="D3" s="1" t="s">
        <v>2</v>
      </c>
      <c r="E3" s="1" t="s">
        <v>1</v>
      </c>
    </row>
    <row r="4" spans="2:13" x14ac:dyDescent="0.3">
      <c r="B4" s="1" t="s">
        <v>0</v>
      </c>
      <c r="C4" s="1">
        <v>1</v>
      </c>
      <c r="D4" s="1">
        <v>2</v>
      </c>
      <c r="E4" s="1">
        <v>2</v>
      </c>
      <c r="F4" s="1"/>
      <c r="H4">
        <f t="array" ref="H4:J6">MMULT(C4:E6,C4:E6)</f>
        <v>3</v>
      </c>
      <c r="I4">
        <v>5</v>
      </c>
      <c r="J4">
        <v>8</v>
      </c>
      <c r="K4">
        <f>SUM(H4:J4)</f>
        <v>16</v>
      </c>
      <c r="L4">
        <f>K4/$K$7</f>
        <v>0.49612403100775193</v>
      </c>
    </row>
    <row r="5" spans="2:13" x14ac:dyDescent="0.3">
      <c r="B5" s="1" t="s">
        <v>2</v>
      </c>
      <c r="C5" s="1">
        <f>1/D4</f>
        <v>0.5</v>
      </c>
      <c r="D5" s="1">
        <v>1</v>
      </c>
      <c r="E5" s="1">
        <v>2</v>
      </c>
      <c r="F5" s="1"/>
      <c r="H5">
        <v>2</v>
      </c>
      <c r="I5">
        <v>3</v>
      </c>
      <c r="J5">
        <v>5</v>
      </c>
      <c r="K5">
        <f t="shared" ref="K5:K6" si="0">SUM(H5:J5)</f>
        <v>10</v>
      </c>
      <c r="L5">
        <f t="shared" ref="L5:L6" si="1">K5/$K$7</f>
        <v>0.31007751937984496</v>
      </c>
    </row>
    <row r="6" spans="2:13" x14ac:dyDescent="0.3">
      <c r="B6" s="1" t="s">
        <v>1</v>
      </c>
      <c r="C6" s="1">
        <f>1/E4</f>
        <v>0.5</v>
      </c>
      <c r="D6" s="1">
        <f>1/E5</f>
        <v>0.5</v>
      </c>
      <c r="E6" s="1">
        <v>1</v>
      </c>
      <c r="F6" s="1"/>
      <c r="H6">
        <v>1.25</v>
      </c>
      <c r="I6">
        <v>2</v>
      </c>
      <c r="J6">
        <v>3</v>
      </c>
      <c r="K6">
        <f t="shared" si="0"/>
        <v>6.25</v>
      </c>
      <c r="L6">
        <f t="shared" si="1"/>
        <v>0.19379844961240311</v>
      </c>
    </row>
    <row r="7" spans="2:13" x14ac:dyDescent="0.3">
      <c r="B7" s="1"/>
      <c r="C7" s="1"/>
      <c r="D7" s="1"/>
      <c r="E7" s="1"/>
      <c r="F7" s="1"/>
      <c r="K7">
        <f>SUM(K4:K6)</f>
        <v>32.25</v>
      </c>
    </row>
    <row r="10" spans="2:13" x14ac:dyDescent="0.3">
      <c r="B10" s="2" t="s">
        <v>0</v>
      </c>
      <c r="C10" s="2"/>
      <c r="D10" s="2"/>
    </row>
    <row r="11" spans="2:13" x14ac:dyDescent="0.3">
      <c r="B11" s="1"/>
      <c r="C11" s="1" t="s">
        <v>3</v>
      </c>
      <c r="D11" s="1" t="s">
        <v>4</v>
      </c>
      <c r="E11" s="1" t="s">
        <v>5</v>
      </c>
      <c r="F11" s="1" t="s">
        <v>6</v>
      </c>
    </row>
    <row r="12" spans="2:13" x14ac:dyDescent="0.3">
      <c r="B12" s="1" t="s">
        <v>3</v>
      </c>
      <c r="C12" s="1">
        <v>1</v>
      </c>
      <c r="D12" s="1">
        <f>1/C13</f>
        <v>0.5</v>
      </c>
      <c r="E12" s="1">
        <f>1/C14</f>
        <v>2</v>
      </c>
      <c r="F12" s="1">
        <f>1/C15</f>
        <v>0.5</v>
      </c>
      <c r="H12">
        <f t="array" ref="H12:K15">MMULT(C12:F15,C12:F15)</f>
        <v>4</v>
      </c>
      <c r="I12">
        <v>1.75</v>
      </c>
      <c r="J12">
        <v>7</v>
      </c>
      <c r="K12">
        <v>3</v>
      </c>
      <c r="L12">
        <f>SUM(H12:K12)</f>
        <v>15.75</v>
      </c>
      <c r="M12">
        <f>L12/$L$16</f>
        <v>0.18639053254437871</v>
      </c>
    </row>
    <row r="13" spans="2:13" x14ac:dyDescent="0.3">
      <c r="B13" s="1" t="s">
        <v>4</v>
      </c>
      <c r="C13" s="1">
        <v>2</v>
      </c>
      <c r="D13" s="1">
        <v>1</v>
      </c>
      <c r="E13" s="1">
        <v>4</v>
      </c>
      <c r="F13" s="1">
        <v>2</v>
      </c>
      <c r="H13">
        <v>10</v>
      </c>
      <c r="I13">
        <v>4</v>
      </c>
      <c r="J13">
        <v>16</v>
      </c>
      <c r="K13">
        <v>7</v>
      </c>
      <c r="L13">
        <f t="shared" ref="L13:L15" si="2">SUM(H13:K13)</f>
        <v>37</v>
      </c>
      <c r="M13">
        <f t="shared" ref="M13:M15" si="3">L13/$L$16</f>
        <v>0.43786982248520712</v>
      </c>
    </row>
    <row r="14" spans="2:13" x14ac:dyDescent="0.3">
      <c r="B14" s="1" t="s">
        <v>5</v>
      </c>
      <c r="C14" s="1">
        <v>0.5</v>
      </c>
      <c r="D14" s="1">
        <f>1/E13</f>
        <v>0.25</v>
      </c>
      <c r="E14" s="1">
        <v>1</v>
      </c>
      <c r="F14" s="1">
        <f>1/E15</f>
        <v>0.5</v>
      </c>
      <c r="H14">
        <v>2.5</v>
      </c>
      <c r="I14">
        <v>1</v>
      </c>
      <c r="J14">
        <v>4</v>
      </c>
      <c r="K14">
        <v>1.75</v>
      </c>
      <c r="L14">
        <f t="shared" si="2"/>
        <v>9.25</v>
      </c>
      <c r="M14">
        <f t="shared" si="3"/>
        <v>0.10946745562130178</v>
      </c>
    </row>
    <row r="15" spans="2:13" x14ac:dyDescent="0.3">
      <c r="B15" s="1" t="s">
        <v>6</v>
      </c>
      <c r="C15" s="1">
        <v>2</v>
      </c>
      <c r="D15" s="1">
        <f>1/F13</f>
        <v>0.5</v>
      </c>
      <c r="E15" s="1">
        <v>2</v>
      </c>
      <c r="F15" s="1">
        <v>1</v>
      </c>
      <c r="H15">
        <v>6</v>
      </c>
      <c r="I15">
        <v>2.5</v>
      </c>
      <c r="J15">
        <v>10</v>
      </c>
      <c r="K15">
        <v>4</v>
      </c>
      <c r="L15">
        <f t="shared" si="2"/>
        <v>22.5</v>
      </c>
      <c r="M15">
        <f t="shared" si="3"/>
        <v>0.26627218934911245</v>
      </c>
    </row>
    <row r="16" spans="2:13" x14ac:dyDescent="0.3">
      <c r="L16">
        <f>SUM(L12:L15)</f>
        <v>84.5</v>
      </c>
    </row>
    <row r="17" spans="2:13" x14ac:dyDescent="0.3">
      <c r="B17" s="2" t="s">
        <v>2</v>
      </c>
      <c r="C17" s="2"/>
      <c r="D17" s="2"/>
    </row>
    <row r="18" spans="2:13" x14ac:dyDescent="0.3">
      <c r="B18" s="1"/>
      <c r="C18" s="1" t="s">
        <v>3</v>
      </c>
      <c r="D18" s="1" t="s">
        <v>4</v>
      </c>
      <c r="E18" s="1" t="s">
        <v>5</v>
      </c>
      <c r="F18" s="1" t="s">
        <v>6</v>
      </c>
    </row>
    <row r="19" spans="2:13" x14ac:dyDescent="0.3">
      <c r="B19" s="1" t="s">
        <v>3</v>
      </c>
      <c r="C19" s="1">
        <v>1</v>
      </c>
      <c r="D19" s="1">
        <v>4</v>
      </c>
      <c r="E19" s="1">
        <f>1/C21</f>
        <v>0.5</v>
      </c>
      <c r="F19" s="1">
        <v>3</v>
      </c>
      <c r="H19">
        <f t="array" ref="H19:K22">MMULT(C19:F22,C19:F22)</f>
        <v>4</v>
      </c>
      <c r="I19">
        <v>16</v>
      </c>
      <c r="J19">
        <v>3</v>
      </c>
      <c r="K19">
        <v>9.5</v>
      </c>
      <c r="L19">
        <f>SUM(H19:K19)</f>
        <v>32.5</v>
      </c>
      <c r="M19">
        <f>L19/$L$23</f>
        <v>0.32244729226953284</v>
      </c>
    </row>
    <row r="20" spans="2:13" x14ac:dyDescent="0.3">
      <c r="B20" s="1" t="s">
        <v>4</v>
      </c>
      <c r="C20" s="1">
        <f>1/D19</f>
        <v>0.25</v>
      </c>
      <c r="D20" s="1">
        <v>1</v>
      </c>
      <c r="E20" s="1">
        <f>1/D21</f>
        <v>0.25</v>
      </c>
      <c r="F20" s="1">
        <f>1/D22</f>
        <v>0.5</v>
      </c>
      <c r="H20">
        <v>1.1666666666666667</v>
      </c>
      <c r="I20">
        <v>4</v>
      </c>
      <c r="J20">
        <v>0.79166666666666663</v>
      </c>
      <c r="K20">
        <v>2.5</v>
      </c>
      <c r="L20">
        <f t="shared" ref="L20:L22" si="4">SUM(H20:K20)</f>
        <v>8.4583333333333339</v>
      </c>
      <c r="M20">
        <f t="shared" ref="M20:M22" si="5">L20/$L$23</f>
        <v>8.391897478296817E-2</v>
      </c>
    </row>
    <row r="21" spans="2:13" x14ac:dyDescent="0.3">
      <c r="B21" s="1" t="s">
        <v>5</v>
      </c>
      <c r="C21" s="1">
        <v>2</v>
      </c>
      <c r="D21" s="1">
        <v>4</v>
      </c>
      <c r="E21" s="1">
        <v>1</v>
      </c>
      <c r="F21" s="1">
        <v>3</v>
      </c>
      <c r="H21">
        <v>6</v>
      </c>
      <c r="I21">
        <v>22</v>
      </c>
      <c r="J21">
        <v>4</v>
      </c>
      <c r="K21">
        <v>14</v>
      </c>
      <c r="L21">
        <f t="shared" si="4"/>
        <v>46</v>
      </c>
      <c r="M21">
        <f t="shared" si="5"/>
        <v>0.45638693675072339</v>
      </c>
    </row>
    <row r="22" spans="2:13" x14ac:dyDescent="0.3">
      <c r="B22" s="1" t="s">
        <v>6</v>
      </c>
      <c r="C22" s="1">
        <f>1/F19</f>
        <v>0.33333333333333331</v>
      </c>
      <c r="D22" s="1">
        <v>2</v>
      </c>
      <c r="E22" s="1">
        <f>1/F21</f>
        <v>0.33333333333333331</v>
      </c>
      <c r="F22" s="1">
        <v>1</v>
      </c>
      <c r="H22">
        <v>1.8333333333333333</v>
      </c>
      <c r="I22">
        <v>6.6666666666666661</v>
      </c>
      <c r="J22">
        <v>1.3333333333333333</v>
      </c>
      <c r="K22">
        <v>4</v>
      </c>
      <c r="L22">
        <f t="shared" si="4"/>
        <v>13.833333333333334</v>
      </c>
      <c r="M22">
        <f t="shared" si="5"/>
        <v>0.13724679619677552</v>
      </c>
    </row>
    <row r="23" spans="2:13" x14ac:dyDescent="0.3">
      <c r="L23">
        <f>SUM(L19:L22)</f>
        <v>100.79166666666667</v>
      </c>
    </row>
    <row r="24" spans="2:13" x14ac:dyDescent="0.3">
      <c r="B24" s="2" t="s">
        <v>1</v>
      </c>
      <c r="C24" s="2"/>
      <c r="D24" s="2"/>
    </row>
    <row r="25" spans="2:13" x14ac:dyDescent="0.3">
      <c r="B25" s="1"/>
      <c r="C25" s="1" t="s">
        <v>3</v>
      </c>
      <c r="D25" s="1" t="s">
        <v>4</v>
      </c>
      <c r="E25" s="1" t="s">
        <v>5</v>
      </c>
      <c r="F25" s="1" t="s">
        <v>6</v>
      </c>
    </row>
    <row r="26" spans="2:13" x14ac:dyDescent="0.3">
      <c r="B26" s="1" t="s">
        <v>3</v>
      </c>
      <c r="C26" s="1">
        <v>1</v>
      </c>
      <c r="D26" s="1">
        <f>1/C27</f>
        <v>0.33333333333333331</v>
      </c>
      <c r="E26" s="1">
        <v>2</v>
      </c>
      <c r="F26" s="1">
        <f>1/C29</f>
        <v>0.5</v>
      </c>
      <c r="H26">
        <f t="array" ref="H26:K29">MMULT(C26:F29,C26:F29)</f>
        <v>4</v>
      </c>
      <c r="I26">
        <v>1.4166666666666665</v>
      </c>
      <c r="J26">
        <v>6.833333333333333</v>
      </c>
      <c r="K26">
        <v>2.333333333333333</v>
      </c>
      <c r="L26">
        <f>SUM(H26:K26)</f>
        <v>14.583333333333332</v>
      </c>
      <c r="M26">
        <f>L26/$L$30</f>
        <v>0.15938069216757739</v>
      </c>
    </row>
    <row r="27" spans="2:13" x14ac:dyDescent="0.3">
      <c r="B27" s="1" t="s">
        <v>4</v>
      </c>
      <c r="C27" s="1">
        <v>3</v>
      </c>
      <c r="D27" s="1">
        <v>1</v>
      </c>
      <c r="E27" s="1">
        <v>4</v>
      </c>
      <c r="F27" s="1">
        <v>2</v>
      </c>
      <c r="H27">
        <v>12</v>
      </c>
      <c r="I27">
        <v>4</v>
      </c>
      <c r="J27">
        <v>20</v>
      </c>
      <c r="K27">
        <v>6.833333333333333</v>
      </c>
      <c r="L27">
        <f t="shared" ref="L27:L29" si="6">SUM(H27:K27)</f>
        <v>42.833333333333336</v>
      </c>
      <c r="M27">
        <f t="shared" ref="M27:M29" si="7">L27/$L$30</f>
        <v>0.46812386156648456</v>
      </c>
    </row>
    <row r="28" spans="2:13" x14ac:dyDescent="0.3">
      <c r="B28" s="1" t="s">
        <v>5</v>
      </c>
      <c r="C28" s="1">
        <f>1/E26</f>
        <v>0.5</v>
      </c>
      <c r="D28" s="1">
        <f>1/E27</f>
        <v>0.25</v>
      </c>
      <c r="E28" s="1">
        <v>1</v>
      </c>
      <c r="F28" s="1">
        <f>1/E29</f>
        <v>0.33333333333333331</v>
      </c>
      <c r="H28">
        <v>2.4166666666666665</v>
      </c>
      <c r="I28">
        <v>0.83333333333333326</v>
      </c>
      <c r="J28">
        <v>4</v>
      </c>
      <c r="K28">
        <v>1.4166666666666665</v>
      </c>
      <c r="L28">
        <f t="shared" si="6"/>
        <v>8.6666666666666661</v>
      </c>
      <c r="M28">
        <f t="shared" si="7"/>
        <v>9.4717668488160281E-2</v>
      </c>
    </row>
    <row r="29" spans="2:13" x14ac:dyDescent="0.3">
      <c r="B29" s="1" t="s">
        <v>6</v>
      </c>
      <c r="C29" s="1">
        <v>2</v>
      </c>
      <c r="D29" s="1">
        <f>1/F27</f>
        <v>0.5</v>
      </c>
      <c r="E29" s="1">
        <v>3</v>
      </c>
      <c r="F29" s="1">
        <v>1</v>
      </c>
      <c r="H29">
        <v>7</v>
      </c>
      <c r="I29">
        <v>2.4166666666666665</v>
      </c>
      <c r="J29">
        <v>12</v>
      </c>
      <c r="K29">
        <v>4</v>
      </c>
      <c r="L29">
        <f t="shared" si="6"/>
        <v>25.416666666666664</v>
      </c>
      <c r="M29">
        <f t="shared" si="7"/>
        <v>0.27777777777777773</v>
      </c>
    </row>
    <row r="30" spans="2:13" x14ac:dyDescent="0.3">
      <c r="L30">
        <f>SUM(L26:L29)</f>
        <v>91.5</v>
      </c>
    </row>
    <row r="33" spans="2:7" x14ac:dyDescent="0.3">
      <c r="B33" s="1"/>
      <c r="C33" s="1" t="s">
        <v>7</v>
      </c>
      <c r="D33" s="1" t="s">
        <v>3</v>
      </c>
      <c r="E33" s="1" t="s">
        <v>4</v>
      </c>
      <c r="F33" s="1" t="s">
        <v>5</v>
      </c>
      <c r="G33" s="1" t="s">
        <v>6</v>
      </c>
    </row>
    <row r="34" spans="2:7" x14ac:dyDescent="0.3">
      <c r="B34" s="1" t="s">
        <v>0</v>
      </c>
      <c r="C34" s="1">
        <v>0.5</v>
      </c>
      <c r="D34" s="1">
        <v>0.19</v>
      </c>
      <c r="E34" s="1">
        <v>0.44</v>
      </c>
      <c r="F34" s="1">
        <v>0.11</v>
      </c>
      <c r="G34" s="1">
        <v>0.26</v>
      </c>
    </row>
    <row r="35" spans="2:7" x14ac:dyDescent="0.3">
      <c r="B35" s="1" t="s">
        <v>2</v>
      </c>
      <c r="C35" s="1">
        <v>0.31</v>
      </c>
      <c r="D35" s="1">
        <v>0.32</v>
      </c>
      <c r="E35" s="1">
        <v>0.08</v>
      </c>
      <c r="F35" s="1">
        <v>0.46</v>
      </c>
      <c r="G35" s="1">
        <v>0.14000000000000001</v>
      </c>
    </row>
    <row r="36" spans="2:7" x14ac:dyDescent="0.3">
      <c r="B36" s="1" t="s">
        <v>1</v>
      </c>
      <c r="C36" s="1">
        <v>0.19</v>
      </c>
      <c r="D36" s="1">
        <v>0.16</v>
      </c>
      <c r="E36" s="1">
        <v>0.47</v>
      </c>
      <c r="F36" s="1">
        <v>0.09</v>
      </c>
      <c r="G36" s="1">
        <v>0.28000000000000003</v>
      </c>
    </row>
    <row r="37" spans="2:7" x14ac:dyDescent="0.3">
      <c r="D37">
        <f>$C$34*D34+$C$35*D35+$C$36*D36</f>
        <v>0.22459999999999999</v>
      </c>
      <c r="E37">
        <f t="shared" ref="E37:G37" si="8">$C$34*E34+$C$35*E35+$C$36*E36</f>
        <v>0.33409999999999995</v>
      </c>
      <c r="F37">
        <f t="shared" si="8"/>
        <v>0.2147</v>
      </c>
      <c r="G37">
        <f t="shared" si="8"/>
        <v>0.2266</v>
      </c>
    </row>
  </sheetData>
  <mergeCells count="3">
    <mergeCell ref="B10:D10"/>
    <mergeCell ref="B17:D17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2026-04-16T21:12:01Z</dcterms:modified>
</cp:coreProperties>
</file>