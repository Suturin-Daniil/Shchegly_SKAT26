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J35" i="1" l="1"/>
  <c r="J36" i="1"/>
  <c r="J34" i="1"/>
  <c r="J28" i="1"/>
  <c r="J29" i="1"/>
  <c r="J27" i="1"/>
  <c r="J21" i="1"/>
  <c r="J22" i="1"/>
  <c r="J20" i="1"/>
  <c r="F34" i="1" a="1"/>
  <c r="G34" i="1" s="1"/>
  <c r="F34" i="1" l="1"/>
  <c r="H36" i="1"/>
  <c r="G36" i="1"/>
  <c r="F36" i="1"/>
  <c r="H35" i="1"/>
  <c r="G35" i="1"/>
  <c r="F35" i="1"/>
  <c r="H34" i="1"/>
  <c r="D46" i="1"/>
  <c r="E46" i="1"/>
  <c r="C46" i="1"/>
  <c r="D28" i="1"/>
  <c r="D27" i="1"/>
  <c r="C36" i="1" l="1"/>
  <c r="B36" i="1"/>
  <c r="B35" i="1"/>
  <c r="F27" i="1" a="1"/>
  <c r="F29" i="1" s="1"/>
  <c r="B28" i="1"/>
  <c r="C22" i="1"/>
  <c r="B22" i="1"/>
  <c r="B21" i="1"/>
  <c r="C15" i="1"/>
  <c r="F13" i="1" s="1" a="1"/>
  <c r="F13" i="1" s="1"/>
  <c r="B15" i="1"/>
  <c r="B14" i="1"/>
  <c r="B6" i="1"/>
  <c r="C6" i="1"/>
  <c r="C5" i="1"/>
  <c r="G3" i="1" s="1" a="1"/>
  <c r="G3" i="1" s="1"/>
  <c r="B5" i="1"/>
  <c r="C3" i="1"/>
  <c r="F20" i="1" l="1" a="1"/>
  <c r="F21" i="1" s="1"/>
  <c r="F27" i="1"/>
  <c r="G27" i="1"/>
  <c r="H27" i="1"/>
  <c r="F28" i="1"/>
  <c r="G28" i="1"/>
  <c r="H28" i="1"/>
  <c r="G29" i="1"/>
  <c r="H29" i="1"/>
  <c r="H14" i="1"/>
  <c r="G13" i="1"/>
  <c r="I13" i="1" s="1"/>
  <c r="H15" i="1"/>
  <c r="G15" i="1"/>
  <c r="F15" i="1"/>
  <c r="G14" i="1"/>
  <c r="F14" i="1"/>
  <c r="I14" i="1" s="1"/>
  <c r="H13" i="1"/>
  <c r="I4" i="1"/>
  <c r="G4" i="1"/>
  <c r="J3" i="1"/>
  <c r="G6" i="1"/>
  <c r="I5" i="1"/>
  <c r="I3" i="1"/>
  <c r="J5" i="1"/>
  <c r="H5" i="1"/>
  <c r="G5" i="1"/>
  <c r="K5" i="1" s="1"/>
  <c r="J4" i="1"/>
  <c r="H4" i="1"/>
  <c r="J6" i="1"/>
  <c r="I6" i="1"/>
  <c r="H6" i="1"/>
  <c r="H3" i="1"/>
  <c r="H20" i="1" l="1"/>
  <c r="I20" i="1" s="1"/>
  <c r="G20" i="1"/>
  <c r="F20" i="1"/>
  <c r="H22" i="1"/>
  <c r="G22" i="1"/>
  <c r="F22" i="1"/>
  <c r="H21" i="1"/>
  <c r="G21" i="1"/>
  <c r="I21" i="1"/>
  <c r="I15" i="1"/>
  <c r="I16" i="1" s="1"/>
  <c r="I36" i="1"/>
  <c r="I34" i="1"/>
  <c r="I35" i="1"/>
  <c r="I29" i="1"/>
  <c r="I28" i="1"/>
  <c r="I27" i="1"/>
  <c r="I22" i="1"/>
  <c r="K6" i="1"/>
  <c r="K3" i="1"/>
  <c r="K4" i="1"/>
  <c r="J15" i="1" l="1"/>
  <c r="J14" i="1"/>
  <c r="J13" i="1"/>
  <c r="I37" i="1"/>
  <c r="I30" i="1"/>
  <c r="I23" i="1"/>
  <c r="K7" i="1"/>
  <c r="L5" i="1" l="1"/>
  <c r="L6" i="1"/>
  <c r="L3" i="1"/>
  <c r="L4" i="1"/>
</calcChain>
</file>

<file path=xl/sharedStrings.xml><?xml version="1.0" encoding="utf-8"?>
<sst xmlns="http://schemas.openxmlformats.org/spreadsheetml/2006/main" count="45" uniqueCount="16">
  <si>
    <t>Критерии</t>
  </si>
  <si>
    <t>Легкость в производстве</t>
  </si>
  <si>
    <t>Устойчивость (Сm0)</t>
  </si>
  <si>
    <t>Подъемная сила (CL)</t>
  </si>
  <si>
    <t>Сопротивление (CD)</t>
  </si>
  <si>
    <t>Прямое</t>
  </si>
  <si>
    <t>Трапецевидное</t>
  </si>
  <si>
    <t>Эллиптическое</t>
  </si>
  <si>
    <t>Подъемная сила</t>
  </si>
  <si>
    <t>Сопротивление</t>
  </si>
  <si>
    <t>Устойчивость</t>
  </si>
  <si>
    <t>Сопроивление</t>
  </si>
  <si>
    <t>вес</t>
  </si>
  <si>
    <t>прямое</t>
  </si>
  <si>
    <t>трапецивидное</t>
  </si>
  <si>
    <t>эллиптическое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</si>
</sst>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19" workbookViewId="0">
      <selection activeCell="B42" sqref="B42:E46"/>
    </sheetView>
  </sheetViews>
  <sheetFormatPr defaultRowHeight="14.4" x14ac:dyDescent="0.3"/>
  <cols>
    <col min="1" max="1" width="23.44140625" customWidth="1"/>
    <col min="2" max="2" width="24.109375" customWidth="1"/>
    <col min="3" max="3" width="19" customWidth="1"/>
    <col min="4" max="4" width="19.6640625" customWidth="1"/>
    <col min="5" max="5" width="18.21875" customWidth="1"/>
  </cols>
  <sheetData>
    <row r="1" spans="1:12" x14ac:dyDescent="0.3">
      <c r="A1" s="4" t="s">
        <v>0</v>
      </c>
      <c r="B1" s="4"/>
      <c r="C1" s="4"/>
      <c r="D1" s="4"/>
    </row>
    <row r="2" spans="1:12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12" x14ac:dyDescent="0.3">
      <c r="A3" s="1" t="s">
        <v>1</v>
      </c>
      <c r="B3" s="1">
        <v>1</v>
      </c>
      <c r="C3" s="1">
        <f>1/B4</f>
        <v>1</v>
      </c>
      <c r="D3" s="1">
        <v>3</v>
      </c>
      <c r="E3" s="1">
        <v>2</v>
      </c>
      <c r="G3">
        <f t="array" ref="G3:J6">MMULT(B3:E6,B3:E6)</f>
        <v>4</v>
      </c>
      <c r="H3">
        <v>12</v>
      </c>
      <c r="I3">
        <v>7.5</v>
      </c>
      <c r="J3">
        <v>10.5</v>
      </c>
      <c r="K3">
        <f>SUM(G3:J3)</f>
        <v>34</v>
      </c>
      <c r="L3">
        <f>K3/$K$7</f>
        <v>0.39306358381502893</v>
      </c>
    </row>
    <row r="4" spans="1:12" x14ac:dyDescent="0.3">
      <c r="A4" s="1" t="s">
        <v>2</v>
      </c>
      <c r="B4" s="1">
        <v>1</v>
      </c>
      <c r="C4" s="1">
        <v>1</v>
      </c>
      <c r="D4" s="1">
        <v>0.5</v>
      </c>
      <c r="E4" s="1">
        <v>0.5</v>
      </c>
      <c r="G4">
        <v>2.4166666666666665</v>
      </c>
      <c r="H4">
        <v>4</v>
      </c>
      <c r="I4">
        <v>4.25</v>
      </c>
      <c r="J4">
        <v>4</v>
      </c>
      <c r="K4">
        <f t="shared" ref="K4:K6" si="0">SUM(G4:J4)</f>
        <v>14.666666666666666</v>
      </c>
      <c r="L4">
        <f t="shared" ref="L4:L6" si="1">K4/$K$7</f>
        <v>0.16955684007707128</v>
      </c>
    </row>
    <row r="5" spans="1:12" x14ac:dyDescent="0.3">
      <c r="A5" s="1" t="s">
        <v>3</v>
      </c>
      <c r="B5" s="1">
        <f>1/D3</f>
        <v>0.33333333333333331</v>
      </c>
      <c r="C5" s="1">
        <f>1/D4</f>
        <v>2</v>
      </c>
      <c r="D5" s="1">
        <v>1</v>
      </c>
      <c r="E5" s="1">
        <v>2</v>
      </c>
      <c r="G5">
        <v>3.666666666666667</v>
      </c>
      <c r="H5">
        <v>8.3333333333333339</v>
      </c>
      <c r="I5">
        <v>4</v>
      </c>
      <c r="J5">
        <v>5.6666666666666661</v>
      </c>
      <c r="K5">
        <f t="shared" si="0"/>
        <v>21.666666666666664</v>
      </c>
      <c r="L5">
        <f t="shared" si="1"/>
        <v>0.25048169556840072</v>
      </c>
    </row>
    <row r="6" spans="1:12" x14ac:dyDescent="0.3">
      <c r="A6" s="1" t="s">
        <v>4</v>
      </c>
      <c r="B6" s="1">
        <f>1/E3</f>
        <v>0.5</v>
      </c>
      <c r="C6" s="1">
        <f>1/E4</f>
        <v>2</v>
      </c>
      <c r="D6" s="1">
        <v>0.5</v>
      </c>
      <c r="E6" s="1">
        <v>1</v>
      </c>
      <c r="G6">
        <v>3.1666666666666665</v>
      </c>
      <c r="H6">
        <v>5.5</v>
      </c>
      <c r="I6">
        <v>3.5</v>
      </c>
      <c r="J6">
        <v>4</v>
      </c>
      <c r="K6">
        <f t="shared" si="0"/>
        <v>16.166666666666664</v>
      </c>
      <c r="L6">
        <f t="shared" si="1"/>
        <v>0.18689788053949902</v>
      </c>
    </row>
    <row r="7" spans="1:12" x14ac:dyDescent="0.3">
      <c r="K7">
        <f>SUM(K3:K6)</f>
        <v>86.5</v>
      </c>
    </row>
    <row r="11" spans="1:12" x14ac:dyDescent="0.3">
      <c r="A11" s="4" t="s">
        <v>1</v>
      </c>
      <c r="B11" s="4"/>
      <c r="C11" s="4"/>
      <c r="D11" s="4"/>
    </row>
    <row r="12" spans="1:12" x14ac:dyDescent="0.3">
      <c r="A12" s="1"/>
      <c r="B12" s="1" t="s">
        <v>5</v>
      </c>
      <c r="C12" s="1" t="s">
        <v>6</v>
      </c>
      <c r="D12" s="1" t="s">
        <v>7</v>
      </c>
    </row>
    <row r="13" spans="1:12" x14ac:dyDescent="0.3">
      <c r="A13" s="1" t="s">
        <v>5</v>
      </c>
      <c r="B13" s="1">
        <v>1</v>
      </c>
      <c r="C13" s="1">
        <v>2</v>
      </c>
      <c r="D13" s="1">
        <v>4</v>
      </c>
      <c r="F13">
        <f t="array" ref="F13:H15">MMULT(B13:D15,B13:D15)</f>
        <v>3</v>
      </c>
      <c r="G13">
        <v>5.333333333333333</v>
      </c>
      <c r="H13">
        <v>14</v>
      </c>
      <c r="I13">
        <f>SUM(F13:H13)</f>
        <v>22.333333333333332</v>
      </c>
      <c r="J13">
        <f>I13/$I$16</f>
        <v>0.55949895615866385</v>
      </c>
    </row>
    <row r="14" spans="1:12" x14ac:dyDescent="0.3">
      <c r="A14" s="1" t="s">
        <v>6</v>
      </c>
      <c r="B14" s="1">
        <f>1/C13</f>
        <v>0.5</v>
      </c>
      <c r="C14" s="1">
        <v>1</v>
      </c>
      <c r="D14" s="1">
        <v>3</v>
      </c>
      <c r="F14">
        <v>1.75</v>
      </c>
      <c r="G14">
        <v>3</v>
      </c>
      <c r="H14">
        <v>8</v>
      </c>
      <c r="I14">
        <f t="shared" ref="I14:I15" si="2">SUM(F14:H14)</f>
        <v>12.75</v>
      </c>
      <c r="J14">
        <f t="shared" ref="J14:J15" si="3">I14/$I$16</f>
        <v>0.31941544885177453</v>
      </c>
    </row>
    <row r="15" spans="1:12" x14ac:dyDescent="0.3">
      <c r="A15" s="1" t="s">
        <v>7</v>
      </c>
      <c r="B15" s="1">
        <f>1/D13</f>
        <v>0.25</v>
      </c>
      <c r="C15" s="1">
        <f>1/D14</f>
        <v>0.33333333333333331</v>
      </c>
      <c r="D15" s="1">
        <v>1</v>
      </c>
      <c r="F15">
        <v>0.66666666666666663</v>
      </c>
      <c r="G15">
        <v>1.1666666666666665</v>
      </c>
      <c r="H15">
        <v>3</v>
      </c>
      <c r="I15">
        <f t="shared" si="2"/>
        <v>4.833333333333333</v>
      </c>
      <c r="J15">
        <f t="shared" si="3"/>
        <v>0.12108559498956159</v>
      </c>
    </row>
    <row r="16" spans="1:12" x14ac:dyDescent="0.3">
      <c r="I16">
        <f>SUM(I13:I15)</f>
        <v>39.916666666666664</v>
      </c>
    </row>
    <row r="18" spans="1:10" x14ac:dyDescent="0.3">
      <c r="A18" s="4" t="s">
        <v>8</v>
      </c>
      <c r="B18" s="4"/>
      <c r="C18" s="4"/>
      <c r="D18" s="4"/>
    </row>
    <row r="19" spans="1:10" x14ac:dyDescent="0.3">
      <c r="A19" s="1"/>
      <c r="B19" s="1" t="s">
        <v>5</v>
      </c>
      <c r="C19" s="1" t="s">
        <v>6</v>
      </c>
      <c r="D19" s="1" t="s">
        <v>7</v>
      </c>
    </row>
    <row r="20" spans="1:10" x14ac:dyDescent="0.3">
      <c r="A20" s="1" t="s">
        <v>5</v>
      </c>
      <c r="B20" s="1">
        <v>1</v>
      </c>
      <c r="C20" s="1">
        <v>1</v>
      </c>
      <c r="D20" s="1">
        <v>2</v>
      </c>
      <c r="F20">
        <f t="array" ref="F20:H22">MMULT(B20:D22,B20:D22)</f>
        <v>3</v>
      </c>
      <c r="G20">
        <v>6</v>
      </c>
      <c r="H20">
        <v>4.5</v>
      </c>
      <c r="I20">
        <f>SUM(F20:H20)</f>
        <v>13.5</v>
      </c>
      <c r="J20">
        <f>I20/$I$23</f>
        <v>0.41860465116279072</v>
      </c>
    </row>
    <row r="21" spans="1:10" x14ac:dyDescent="0.3">
      <c r="A21" s="1" t="s">
        <v>6</v>
      </c>
      <c r="B21" s="1">
        <f>1/C20</f>
        <v>1</v>
      </c>
      <c r="C21" s="1">
        <v>1</v>
      </c>
      <c r="D21" s="1">
        <v>0.5</v>
      </c>
      <c r="F21">
        <v>2.25</v>
      </c>
      <c r="G21">
        <v>3</v>
      </c>
      <c r="H21">
        <v>3</v>
      </c>
      <c r="I21">
        <f t="shared" ref="I21:I22" si="4">SUM(F21:H21)</f>
        <v>8.25</v>
      </c>
      <c r="J21">
        <f t="shared" ref="J21:J22" si="5">I21/$I$23</f>
        <v>0.2558139534883721</v>
      </c>
    </row>
    <row r="22" spans="1:10" x14ac:dyDescent="0.3">
      <c r="A22" s="1" t="s">
        <v>7</v>
      </c>
      <c r="B22" s="1">
        <f>1/D20</f>
        <v>0.5</v>
      </c>
      <c r="C22" s="1">
        <f>1/D21</f>
        <v>2</v>
      </c>
      <c r="D22" s="1">
        <v>1</v>
      </c>
      <c r="F22">
        <v>3</v>
      </c>
      <c r="G22">
        <v>4.5</v>
      </c>
      <c r="H22">
        <v>3</v>
      </c>
      <c r="I22">
        <f t="shared" si="4"/>
        <v>10.5</v>
      </c>
      <c r="J22">
        <f t="shared" si="5"/>
        <v>0.32558139534883723</v>
      </c>
    </row>
    <row r="23" spans="1:10" x14ac:dyDescent="0.3">
      <c r="I23">
        <f>SUM(I20:I22)</f>
        <v>32.25</v>
      </c>
    </row>
    <row r="25" spans="1:10" x14ac:dyDescent="0.3">
      <c r="A25" s="4" t="s">
        <v>9</v>
      </c>
      <c r="B25" s="4"/>
      <c r="C25" s="4"/>
      <c r="D25" s="4"/>
    </row>
    <row r="26" spans="1:10" x14ac:dyDescent="0.3">
      <c r="A26" s="1"/>
      <c r="B26" s="1" t="s">
        <v>5</v>
      </c>
      <c r="C26" s="1" t="s">
        <v>6</v>
      </c>
      <c r="D26" s="1" t="s">
        <v>7</v>
      </c>
    </row>
    <row r="27" spans="1:10" x14ac:dyDescent="0.3">
      <c r="A27" s="1" t="s">
        <v>5</v>
      </c>
      <c r="B27" s="2">
        <v>1</v>
      </c>
      <c r="C27" s="2">
        <v>0.5</v>
      </c>
      <c r="D27" s="2">
        <f>1/B29</f>
        <v>0.25</v>
      </c>
      <c r="F27">
        <f t="array" ref="F27:H29">MMULT(B27:D29,B27:D29)</f>
        <v>3</v>
      </c>
      <c r="G27">
        <v>1.75</v>
      </c>
      <c r="H27">
        <v>0.66666666666666663</v>
      </c>
      <c r="I27">
        <f>SUM(F27:H27)</f>
        <v>5.416666666666667</v>
      </c>
      <c r="J27">
        <f>I27/$I$30</f>
        <v>0.13569937369519836</v>
      </c>
    </row>
    <row r="28" spans="1:10" x14ac:dyDescent="0.3">
      <c r="A28" s="1" t="s">
        <v>6</v>
      </c>
      <c r="B28" s="2">
        <f>1/C27</f>
        <v>2</v>
      </c>
      <c r="C28" s="2">
        <v>1</v>
      </c>
      <c r="D28" s="2">
        <f>1/C29</f>
        <v>0.33333333333333331</v>
      </c>
      <c r="F28">
        <v>5.333333333333333</v>
      </c>
      <c r="G28">
        <v>3</v>
      </c>
      <c r="H28">
        <v>1.1666666666666665</v>
      </c>
      <c r="I28">
        <f t="shared" ref="I28:I29" si="6">SUM(F28:H28)</f>
        <v>9.4999999999999982</v>
      </c>
      <c r="J28">
        <f t="shared" ref="J28:J29" si="7">I28/$I$30</f>
        <v>0.23799582463465549</v>
      </c>
    </row>
    <row r="29" spans="1:10" x14ac:dyDescent="0.3">
      <c r="A29" s="1" t="s">
        <v>7</v>
      </c>
      <c r="B29" s="2">
        <v>4</v>
      </c>
      <c r="C29" s="2">
        <v>3</v>
      </c>
      <c r="D29" s="2">
        <v>1</v>
      </c>
      <c r="F29">
        <v>14</v>
      </c>
      <c r="G29">
        <v>8</v>
      </c>
      <c r="H29">
        <v>3</v>
      </c>
      <c r="I29">
        <f t="shared" si="6"/>
        <v>25</v>
      </c>
      <c r="J29">
        <f t="shared" si="7"/>
        <v>0.62630480167014613</v>
      </c>
    </row>
    <row r="30" spans="1:10" x14ac:dyDescent="0.3">
      <c r="I30">
        <f>SUM(I27:I29)</f>
        <v>39.916666666666664</v>
      </c>
    </row>
    <row r="32" spans="1:10" x14ac:dyDescent="0.3">
      <c r="A32" s="4" t="s">
        <v>10</v>
      </c>
      <c r="B32" s="4"/>
      <c r="C32" s="4"/>
      <c r="D32" s="4"/>
    </row>
    <row r="33" spans="1:10" x14ac:dyDescent="0.3">
      <c r="A33" s="1"/>
      <c r="B33" s="1" t="s">
        <v>5</v>
      </c>
      <c r="C33" s="1" t="s">
        <v>6</v>
      </c>
      <c r="D33" s="1" t="s">
        <v>7</v>
      </c>
    </row>
    <row r="34" spans="1:10" x14ac:dyDescent="0.3">
      <c r="A34" s="1" t="s">
        <v>5</v>
      </c>
      <c r="B34" s="2">
        <v>1</v>
      </c>
      <c r="C34" s="2">
        <v>0.5</v>
      </c>
      <c r="D34" s="2">
        <v>0.5</v>
      </c>
      <c r="F34">
        <f t="array" ref="F34:H36">MMULT(B34:D36,B34:D36)</f>
        <v>3</v>
      </c>
      <c r="G34">
        <v>1.5</v>
      </c>
      <c r="H34">
        <v>1.5</v>
      </c>
      <c r="I34">
        <f>SUM(F34:H34)</f>
        <v>6</v>
      </c>
      <c r="J34">
        <f>I34/$I$37</f>
        <v>0.2</v>
      </c>
    </row>
    <row r="35" spans="1:10" x14ac:dyDescent="0.3">
      <c r="A35" s="1" t="s">
        <v>6</v>
      </c>
      <c r="B35" s="2">
        <f>1/C34</f>
        <v>2</v>
      </c>
      <c r="C35" s="2">
        <v>1</v>
      </c>
      <c r="D35" s="2">
        <v>1</v>
      </c>
      <c r="F35">
        <v>6</v>
      </c>
      <c r="G35">
        <v>3</v>
      </c>
      <c r="H35">
        <v>3</v>
      </c>
      <c r="I35">
        <f t="shared" ref="I35:I36" si="8">SUM(F35:H35)</f>
        <v>12</v>
      </c>
      <c r="J35">
        <f t="shared" ref="J35:J36" si="9">I35/$I$37</f>
        <v>0.4</v>
      </c>
    </row>
    <row r="36" spans="1:10" x14ac:dyDescent="0.3">
      <c r="A36" s="1" t="s">
        <v>7</v>
      </c>
      <c r="B36" s="2">
        <f>1/D34</f>
        <v>2</v>
      </c>
      <c r="C36" s="2">
        <f>1/D35</f>
        <v>1</v>
      </c>
      <c r="D36" s="2">
        <v>1</v>
      </c>
      <c r="F36">
        <v>6</v>
      </c>
      <c r="G36">
        <v>3</v>
      </c>
      <c r="H36">
        <v>3</v>
      </c>
      <c r="I36">
        <f t="shared" si="8"/>
        <v>12</v>
      </c>
      <c r="J36">
        <f t="shared" si="9"/>
        <v>0.4</v>
      </c>
    </row>
    <row r="37" spans="1:10" x14ac:dyDescent="0.3">
      <c r="I37">
        <f>SUM(I34:I36)</f>
        <v>30</v>
      </c>
    </row>
    <row r="41" spans="1:10" x14ac:dyDescent="0.3">
      <c r="A41" s="1"/>
      <c r="B41" s="1" t="s">
        <v>12</v>
      </c>
      <c r="C41" s="1" t="s">
        <v>13</v>
      </c>
      <c r="D41" s="1" t="s">
        <v>14</v>
      </c>
      <c r="E41" s="1" t="s">
        <v>15</v>
      </c>
    </row>
    <row r="42" spans="1:10" x14ac:dyDescent="0.3">
      <c r="A42" s="1" t="s">
        <v>1</v>
      </c>
      <c r="B42" s="1">
        <v>0.39</v>
      </c>
      <c r="C42" s="1">
        <v>0.56000000000000005</v>
      </c>
      <c r="D42" s="1">
        <v>0.32</v>
      </c>
      <c r="E42" s="1">
        <v>0.12</v>
      </c>
    </row>
    <row r="43" spans="1:10" x14ac:dyDescent="0.3">
      <c r="A43" s="1" t="s">
        <v>8</v>
      </c>
      <c r="B43" s="1">
        <v>0.25</v>
      </c>
      <c r="C43" s="1">
        <v>0.42</v>
      </c>
      <c r="D43" s="1">
        <v>0.26</v>
      </c>
      <c r="E43" s="1">
        <v>0.32</v>
      </c>
    </row>
    <row r="44" spans="1:10" x14ac:dyDescent="0.3">
      <c r="A44" s="1" t="s">
        <v>11</v>
      </c>
      <c r="B44" s="1">
        <v>0.19</v>
      </c>
      <c r="C44" s="1">
        <v>0.14000000000000001</v>
      </c>
      <c r="D44" s="1">
        <v>0.24</v>
      </c>
      <c r="E44" s="1">
        <v>0.62</v>
      </c>
    </row>
    <row r="45" spans="1:10" x14ac:dyDescent="0.3">
      <c r="A45" s="1" t="s">
        <v>10</v>
      </c>
      <c r="B45" s="1">
        <v>0.17</v>
      </c>
      <c r="C45" s="1">
        <v>0.2</v>
      </c>
      <c r="D45" s="1">
        <v>0.4</v>
      </c>
      <c r="E45" s="1">
        <v>0.4</v>
      </c>
    </row>
    <row r="46" spans="1:10" x14ac:dyDescent="0.3">
      <c r="A46" s="1"/>
      <c r="B46" s="1"/>
      <c r="C46" s="3">
        <f>$B$42*C42+$B$43*C43+$B$44*C44+$B$45*C45</f>
        <v>0.38400000000000001</v>
      </c>
      <c r="D46" s="3">
        <f t="shared" ref="D46:E46" si="10">$B$42*D42+$B$43*D43+$B$44*D44+$B$45*D45</f>
        <v>0.3034</v>
      </c>
      <c r="E46" s="3">
        <f t="shared" si="10"/>
        <v>0.31259999999999999</v>
      </c>
    </row>
  </sheetData>
  <mergeCells count="5">
    <mergeCell ref="A1:D1"/>
    <mergeCell ref="A11:D11"/>
    <mergeCell ref="A18:D18"/>
    <mergeCell ref="A25:D25"/>
    <mergeCell ref="A32:D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2026-04-14T23:13:12Z</dcterms:modified>
</cp:coreProperties>
</file>